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45" windowHeight="12255" activeTab="1"/>
  </bookViews>
  <sheets>
    <sheet name="Sheet1" sheetId="1" r:id="rId1"/>
    <sheet name="Sheet2" sheetId="2" r:id="rId2"/>
  </sheets>
  <definedNames>
    <definedName name="_xlnm.Print_Area" localSheetId="0">Sheet1!$A$1:$M$53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<sst xmlns="http://schemas.openxmlformats.org/spreadsheetml/2006/main" count="84" uniqueCount="64">
  <si>
    <t>低空综合服务平台开发计划（一期）</t>
  </si>
  <si>
    <t>阶段</t>
  </si>
  <si>
    <t>对应开发平台与技术栈</t>
  </si>
  <si>
    <t>任务</t>
  </si>
  <si>
    <t>计划开始日</t>
  </si>
  <si>
    <t>天数</t>
  </si>
  <si>
    <t>计划结束日</t>
  </si>
  <si>
    <t>阶段一：需求与架构</t>
  </si>
  <si>
    <t>业务层面；对照《一期工程大纲》《Copy》整理需求，无特定技术栈</t>
  </si>
  <si>
    <t>一期业务范围确认与需求澄清</t>
  </si>
  <si>
    <t>全平台；输出首页/服务/案例/登录/个人中心等 IA 和导航结构</t>
  </si>
  <si>
    <t>功能模块划分与页面信息架构设计</t>
  </si>
  <si>
    <t>前端 H5：Vite + Vue3 + Pinia + Vue Router + Vant + Axios；约定接口规范、代码规范、分支策略</t>
  </si>
  <si>
    <t>技术架构与开发规范制定</t>
  </si>
  <si>
    <t>阶段二：基础框架</t>
  </si>
  <si>
    <t>H5：Vite 项目结构、环境配置（dev/test/prod）、ESLint/Prettier（如需要）</t>
  </si>
  <si>
    <t>前端工程化环境搭建与校验</t>
  </si>
  <si>
    <t>H5：Vue Router（多级路由、Layout + Tabbar）、全局过渡动画、App Shell</t>
  </si>
  <si>
    <t>路由体系设计与基础布局实现</t>
  </si>
  <si>
    <t>H5：Vant 主题定制、紫色/红色渐变主题、全局按钮/卡片/表单校验规则封装</t>
  </si>
  <si>
    <t>全局 UI 主题与基础组件库封装</t>
  </si>
  <si>
    <t>H5：Axios 封装（拦截器、Token 注入、全局错误提示）、与后端接口规范对齐</t>
  </si>
  <si>
    <t>HTTP 客户端封装与错误处理机制</t>
  </si>
  <si>
    <t>阶段三：核心功能</t>
  </si>
  <si>
    <t>H5：Vue3 + Vant；首页 Banner、快捷服务入口、重点服务区块、平台优势展示、外卖入口 UI</t>
  </si>
  <si>
    <t>服务大厅首页界面与交互实现</t>
  </si>
  <si>
    <t>H5：Vue3 + Vant；11 项服务网格、搜索过滤、图标与文案对齐业务文档</t>
  </si>
  <si>
    <t>全部服务列表与搜索能力实现</t>
  </si>
  <si>
    <t>H5：Vue3；基于配置的服务详情（介绍/项目/优势），按 ID 渲染服务内容</t>
  </si>
  <si>
    <t>服务详情页模板与 11 项服务配置</t>
  </si>
  <si>
    <t>H5：Vue3 + Vant Form + Axios；字段：货物类型/重量/体积/起止地点/期望时间/特殊条件等，含前端校验</t>
  </si>
  <si>
    <t>无人机物流服务申请表单开发与校验</t>
  </si>
  <si>
    <t>H5：Vue3 + Vant；字段：服务类型、巡检区域、时间、需求说明，联动选择器</t>
  </si>
  <si>
    <t>政务巡检服务申请表单开发与校验</t>
  </si>
  <si>
    <t>H5：Vue3 + Vant；字段：机型、数量、托管时长等</t>
  </si>
  <si>
    <t>无人机托管服务申请表单开发与校验</t>
  </si>
  <si>
    <t>H5：Vue3 + Vant；字段：物品类型、重量、地点、高度等</t>
  </si>
  <si>
    <t>无人机吊运服务申请表单开发与校验</t>
  </si>
  <si>
    <t>H5：Axios；后端：REST API（提交/查询申请），含接口状态处理与异常提示</t>
  </si>
  <si>
    <t>表单提交流程与后端接口对接（一期四项）</t>
  </si>
  <si>
    <t>H5：Vue3 + Vant；短信验证码输入、倒计时、Token 存储与路由守卫（登录态）</t>
  </si>
  <si>
    <t>用户登录注册实现</t>
  </si>
  <si>
    <t>任务名称</t>
  </si>
  <si>
    <t>实际结束日</t>
  </si>
  <si>
    <r>
      <t>业务层面；对照《一期工程大纲》《</t>
    </r>
    <r>
      <rPr>
        <sz val="10"/>
        <color theme="1"/>
        <rFont val="仿宋_GB2312"/>
        <charset val="134"/>
      </rPr>
      <t>Copy</t>
    </r>
    <r>
      <rPr>
        <sz val="10"/>
        <color theme="1"/>
        <rFont val="仿宋_GB2312"/>
        <charset val="134"/>
      </rPr>
      <t>》整理需求，无特定技术栈</t>
    </r>
  </si>
  <si>
    <r>
      <t>全平台；输出首页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服务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案例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登录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个人中心等</t>
    </r>
    <r>
      <rPr>
        <sz val="10"/>
        <color theme="1"/>
        <rFont val="仿宋_GB2312"/>
        <charset val="134"/>
      </rPr>
      <t xml:space="preserve"> IA </t>
    </r>
    <r>
      <rPr>
        <sz val="10"/>
        <color theme="1"/>
        <rFont val="仿宋_GB2312"/>
        <charset val="134"/>
      </rPr>
      <t>和导航结构</t>
    </r>
  </si>
  <si>
    <r>
      <t>前端</t>
    </r>
    <r>
      <rPr>
        <sz val="10"/>
        <color theme="1"/>
        <rFont val="仿宋_GB2312"/>
        <charset val="134"/>
      </rPr>
      <t xml:space="preserve"> H5</t>
    </r>
    <r>
      <rPr>
        <sz val="10"/>
        <color theme="1"/>
        <rFont val="仿宋_GB2312"/>
        <charset val="134"/>
      </rPr>
      <t>：</t>
    </r>
    <r>
      <rPr>
        <sz val="10"/>
        <color theme="1"/>
        <rFont val="仿宋_GB2312"/>
        <charset val="134"/>
      </rPr>
      <t>Vite + Vue3 + Pinia + Vue Router + Vant + Axios</t>
    </r>
    <r>
      <rPr>
        <sz val="10"/>
        <color theme="1"/>
        <rFont val="仿宋_GB2312"/>
        <charset val="134"/>
      </rPr>
      <t>；约定接口规范、代码规范、分支策略</t>
    </r>
  </si>
  <si>
    <r>
      <t>H5</t>
    </r>
    <r>
      <rPr>
        <sz val="10"/>
        <color theme="1"/>
        <rFont val="仿宋_GB2312"/>
        <charset val="134"/>
      </rPr>
      <t>：</t>
    </r>
    <r>
      <rPr>
        <sz val="10"/>
        <color theme="1"/>
        <rFont val="仿宋_GB2312"/>
        <charset val="134"/>
      </rPr>
      <t xml:space="preserve">Vite </t>
    </r>
    <r>
      <rPr>
        <sz val="10"/>
        <color theme="1"/>
        <rFont val="仿宋_GB2312"/>
        <charset val="134"/>
      </rPr>
      <t>项目结构、环境配置（</t>
    </r>
    <r>
      <rPr>
        <sz val="10"/>
        <color theme="1"/>
        <rFont val="仿宋_GB2312"/>
        <charset val="134"/>
      </rPr>
      <t>dev/test/prod</t>
    </r>
    <r>
      <rPr>
        <sz val="10"/>
        <color theme="1"/>
        <rFont val="仿宋_GB2312"/>
        <charset val="134"/>
      </rPr>
      <t>）、</t>
    </r>
    <r>
      <rPr>
        <sz val="10"/>
        <color theme="1"/>
        <rFont val="仿宋_GB2312"/>
        <charset val="134"/>
      </rPr>
      <t>ESLint/Prettier</t>
    </r>
    <r>
      <rPr>
        <sz val="10"/>
        <color theme="1"/>
        <rFont val="仿宋_GB2312"/>
        <charset val="134"/>
      </rPr>
      <t>（如需要）</t>
    </r>
  </si>
  <si>
    <r>
      <t>H5</t>
    </r>
    <r>
      <rPr>
        <sz val="10"/>
        <color theme="1"/>
        <rFont val="仿宋_GB2312"/>
        <charset val="134"/>
      </rPr>
      <t>：</t>
    </r>
    <r>
      <rPr>
        <sz val="10"/>
        <color theme="1"/>
        <rFont val="仿宋_GB2312"/>
        <charset val="134"/>
      </rPr>
      <t>Vue Router</t>
    </r>
    <r>
      <rPr>
        <sz val="10"/>
        <color theme="1"/>
        <rFont val="仿宋_GB2312"/>
        <charset val="134"/>
      </rPr>
      <t>（多级路由、</t>
    </r>
    <r>
      <rPr>
        <sz val="10"/>
        <color theme="1"/>
        <rFont val="仿宋_GB2312"/>
        <charset val="134"/>
      </rPr>
      <t>Layout + Tabbar</t>
    </r>
    <r>
      <rPr>
        <sz val="10"/>
        <color theme="1"/>
        <rFont val="仿宋_GB2312"/>
        <charset val="134"/>
      </rPr>
      <t>）、全局过渡动画、</t>
    </r>
    <r>
      <rPr>
        <sz val="10"/>
        <color theme="1"/>
        <rFont val="仿宋_GB2312"/>
        <charset val="134"/>
      </rPr>
      <t>App Shell</t>
    </r>
  </si>
  <si>
    <r>
      <t>全局</t>
    </r>
    <r>
      <rPr>
        <sz val="10"/>
        <color theme="1"/>
        <rFont val="仿宋_GB2312"/>
        <charset val="134"/>
      </rPr>
      <t xml:space="preserve"> UI </t>
    </r>
    <r>
      <rPr>
        <sz val="10"/>
        <color theme="1"/>
        <rFont val="仿宋_GB2312"/>
        <charset val="134"/>
      </rPr>
      <t>主题与基础组件库封装</t>
    </r>
  </si>
  <si>
    <r>
      <t>H5</t>
    </r>
    <r>
      <rPr>
        <sz val="10"/>
        <color theme="1"/>
        <rFont val="仿宋_GB2312"/>
        <charset val="134"/>
      </rPr>
      <t>：</t>
    </r>
    <r>
      <rPr>
        <sz val="10"/>
        <color theme="1"/>
        <rFont val="仿宋_GB2312"/>
        <charset val="134"/>
      </rPr>
      <t xml:space="preserve">Vant </t>
    </r>
    <r>
      <rPr>
        <sz val="10"/>
        <color theme="1"/>
        <rFont val="仿宋_GB2312"/>
        <charset val="134"/>
      </rPr>
      <t>主题定制、紫色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红色渐变主题、全局按钮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卡片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表单校验规则封装</t>
    </r>
  </si>
  <si>
    <r>
      <t xml:space="preserve">HTTP </t>
    </r>
    <r>
      <rPr>
        <sz val="10"/>
        <color theme="1"/>
        <rFont val="仿宋_GB2312"/>
        <charset val="134"/>
      </rPr>
      <t>客户端封装与错误处理机制</t>
    </r>
  </si>
  <si>
    <r>
      <t>H5</t>
    </r>
    <r>
      <rPr>
        <sz val="10"/>
        <color theme="1"/>
        <rFont val="仿宋_GB2312"/>
        <charset val="134"/>
      </rPr>
      <t>：</t>
    </r>
    <r>
      <rPr>
        <sz val="10"/>
        <color theme="1"/>
        <rFont val="仿宋_GB2312"/>
        <charset val="134"/>
      </rPr>
      <t xml:space="preserve">Axios </t>
    </r>
    <r>
      <rPr>
        <sz val="10"/>
        <color theme="1"/>
        <rFont val="仿宋_GB2312"/>
        <charset val="134"/>
      </rPr>
      <t>封装（拦截器、</t>
    </r>
    <r>
      <rPr>
        <sz val="10"/>
        <color theme="1"/>
        <rFont val="仿宋_GB2312"/>
        <charset val="134"/>
      </rPr>
      <t xml:space="preserve">Token </t>
    </r>
    <r>
      <rPr>
        <sz val="10"/>
        <color theme="1"/>
        <rFont val="仿宋_GB2312"/>
        <charset val="134"/>
      </rPr>
      <t>注入、全局错误提示）、与后端接口规范对齐</t>
    </r>
  </si>
  <si>
    <r>
      <t>H5</t>
    </r>
    <r>
      <rPr>
        <sz val="10"/>
        <color theme="1"/>
        <rFont val="仿宋_GB2312"/>
        <charset val="134"/>
      </rPr>
      <t>：</t>
    </r>
    <r>
      <rPr>
        <sz val="10"/>
        <color theme="1"/>
        <rFont val="仿宋_GB2312"/>
        <charset val="134"/>
      </rPr>
      <t>Vue3 + Vant</t>
    </r>
    <r>
      <rPr>
        <sz val="10"/>
        <color theme="1"/>
        <rFont val="仿宋_GB2312"/>
        <charset val="134"/>
      </rPr>
      <t>；首页</t>
    </r>
    <r>
      <rPr>
        <sz val="10"/>
        <color theme="1"/>
        <rFont val="仿宋_GB2312"/>
        <charset val="134"/>
      </rPr>
      <t xml:space="preserve"> Banner</t>
    </r>
    <r>
      <rPr>
        <sz val="10"/>
        <color theme="1"/>
        <rFont val="仿宋_GB2312"/>
        <charset val="134"/>
      </rPr>
      <t>、快捷服务入口、重点服务区块、平台优势展示、外卖入口</t>
    </r>
    <r>
      <rPr>
        <sz val="10"/>
        <color theme="1"/>
        <rFont val="仿宋_GB2312"/>
        <charset val="134"/>
      </rPr>
      <t xml:space="preserve"> UI</t>
    </r>
  </si>
  <si>
    <r>
      <t>H5</t>
    </r>
    <r>
      <rPr>
        <sz val="10"/>
        <color theme="1"/>
        <rFont val="仿宋_GB2312"/>
        <charset val="134"/>
      </rPr>
      <t>：</t>
    </r>
    <r>
      <rPr>
        <sz val="10"/>
        <color theme="1"/>
        <rFont val="仿宋_GB2312"/>
        <charset val="134"/>
      </rPr>
      <t>Vue3 + Vant</t>
    </r>
    <r>
      <rPr>
        <sz val="10"/>
        <color theme="1"/>
        <rFont val="仿宋_GB2312"/>
        <charset val="134"/>
      </rPr>
      <t>；</t>
    </r>
    <r>
      <rPr>
        <sz val="10"/>
        <color theme="1"/>
        <rFont val="仿宋_GB2312"/>
        <charset val="134"/>
      </rPr>
      <t xml:space="preserve">11 </t>
    </r>
    <r>
      <rPr>
        <sz val="10"/>
        <color theme="1"/>
        <rFont val="仿宋_GB2312"/>
        <charset val="134"/>
      </rPr>
      <t>项服务网格、搜索过滤、图标与文案对齐业务文档</t>
    </r>
  </si>
  <si>
    <r>
      <t>服务详情页模板与</t>
    </r>
    <r>
      <rPr>
        <sz val="10"/>
        <color theme="1"/>
        <rFont val="仿宋_GB2312"/>
        <charset val="134"/>
      </rPr>
      <t xml:space="preserve"> 11 </t>
    </r>
    <r>
      <rPr>
        <sz val="10"/>
        <color theme="1"/>
        <rFont val="仿宋_GB2312"/>
        <charset val="134"/>
      </rPr>
      <t>项服务配置</t>
    </r>
  </si>
  <si>
    <r>
      <t>H5</t>
    </r>
    <r>
      <rPr>
        <sz val="10"/>
        <color theme="1"/>
        <rFont val="仿宋_GB2312"/>
        <charset val="134"/>
      </rPr>
      <t>：</t>
    </r>
    <r>
      <rPr>
        <sz val="10"/>
        <color theme="1"/>
        <rFont val="仿宋_GB2312"/>
        <charset val="134"/>
      </rPr>
      <t>Vue3</t>
    </r>
    <r>
      <rPr>
        <sz val="10"/>
        <color theme="1"/>
        <rFont val="仿宋_GB2312"/>
        <charset val="134"/>
      </rPr>
      <t>；基于配置的服务详情（介绍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项目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优势），按</t>
    </r>
    <r>
      <rPr>
        <sz val="10"/>
        <color theme="1"/>
        <rFont val="仿宋_GB2312"/>
        <charset val="134"/>
      </rPr>
      <t xml:space="preserve"> ID </t>
    </r>
    <r>
      <rPr>
        <sz val="10"/>
        <color theme="1"/>
        <rFont val="仿宋_GB2312"/>
        <charset val="134"/>
      </rPr>
      <t>渲染服务内容</t>
    </r>
  </si>
  <si>
    <r>
      <t>H5</t>
    </r>
    <r>
      <rPr>
        <sz val="10"/>
        <color theme="1"/>
        <rFont val="仿宋_GB2312"/>
        <charset val="134"/>
      </rPr>
      <t>：</t>
    </r>
    <r>
      <rPr>
        <sz val="10"/>
        <color theme="1"/>
        <rFont val="仿宋_GB2312"/>
        <charset val="134"/>
      </rPr>
      <t>Vue3 + Vant Form + Axios</t>
    </r>
    <r>
      <rPr>
        <sz val="10"/>
        <color theme="1"/>
        <rFont val="仿宋_GB2312"/>
        <charset val="134"/>
      </rPr>
      <t>；字段：货物类型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重量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体积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起止地点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期望时间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特殊条件等，含前端校验</t>
    </r>
  </si>
  <si>
    <r>
      <t>H5</t>
    </r>
    <r>
      <rPr>
        <sz val="10"/>
        <color theme="1"/>
        <rFont val="仿宋_GB2312"/>
        <charset val="134"/>
      </rPr>
      <t>：</t>
    </r>
    <r>
      <rPr>
        <sz val="10"/>
        <color theme="1"/>
        <rFont val="仿宋_GB2312"/>
        <charset val="134"/>
      </rPr>
      <t>Vue3 + Vant</t>
    </r>
    <r>
      <rPr>
        <sz val="10"/>
        <color theme="1"/>
        <rFont val="仿宋_GB2312"/>
        <charset val="134"/>
      </rPr>
      <t>；字段：服务类型、巡检区域、时间、需求说明，联动选择器</t>
    </r>
  </si>
  <si>
    <r>
      <t>H5</t>
    </r>
    <r>
      <rPr>
        <sz val="10"/>
        <color theme="1"/>
        <rFont val="仿宋_GB2312"/>
        <charset val="134"/>
      </rPr>
      <t>：</t>
    </r>
    <r>
      <rPr>
        <sz val="10"/>
        <color theme="1"/>
        <rFont val="仿宋_GB2312"/>
        <charset val="134"/>
      </rPr>
      <t>Vue3 + Vant</t>
    </r>
    <r>
      <rPr>
        <sz val="10"/>
        <color theme="1"/>
        <rFont val="仿宋_GB2312"/>
        <charset val="134"/>
      </rPr>
      <t>；字段：机型、数量、托管时长等</t>
    </r>
  </si>
  <si>
    <r>
      <t>H5</t>
    </r>
    <r>
      <rPr>
        <sz val="10"/>
        <color theme="1"/>
        <rFont val="仿宋_GB2312"/>
        <charset val="134"/>
      </rPr>
      <t>：</t>
    </r>
    <r>
      <rPr>
        <sz val="10"/>
        <color theme="1"/>
        <rFont val="仿宋_GB2312"/>
        <charset val="134"/>
      </rPr>
      <t>Vue3 + Vant</t>
    </r>
    <r>
      <rPr>
        <sz val="10"/>
        <color theme="1"/>
        <rFont val="仿宋_GB2312"/>
        <charset val="134"/>
      </rPr>
      <t>；字段：物品类型、重量、地点、高度等</t>
    </r>
  </si>
  <si>
    <r>
      <t>H5</t>
    </r>
    <r>
      <rPr>
        <sz val="10"/>
        <color theme="1"/>
        <rFont val="仿宋_GB2312"/>
        <charset val="134"/>
      </rPr>
      <t>：</t>
    </r>
    <r>
      <rPr>
        <sz val="10"/>
        <color theme="1"/>
        <rFont val="仿宋_GB2312"/>
        <charset val="134"/>
      </rPr>
      <t>Axios</t>
    </r>
    <r>
      <rPr>
        <sz val="10"/>
        <color theme="1"/>
        <rFont val="仿宋_GB2312"/>
        <charset val="134"/>
      </rPr>
      <t>；后端：</t>
    </r>
    <r>
      <rPr>
        <sz val="10"/>
        <color theme="1"/>
        <rFont val="仿宋_GB2312"/>
        <charset val="134"/>
      </rPr>
      <t>REST API</t>
    </r>
    <r>
      <rPr>
        <sz val="10"/>
        <color theme="1"/>
        <rFont val="仿宋_GB2312"/>
        <charset val="134"/>
      </rPr>
      <t>（提交</t>
    </r>
    <r>
      <rPr>
        <sz val="10"/>
        <color theme="1"/>
        <rFont val="仿宋_GB2312"/>
        <charset val="134"/>
      </rPr>
      <t>/</t>
    </r>
    <r>
      <rPr>
        <sz val="10"/>
        <color theme="1"/>
        <rFont val="仿宋_GB2312"/>
        <charset val="134"/>
      </rPr>
      <t>查询申请），含接口状态处理与异常提示</t>
    </r>
  </si>
  <si>
    <t>登录注册（短信验证码登录）实现</t>
  </si>
  <si>
    <r>
      <t>H5</t>
    </r>
    <r>
      <rPr>
        <sz val="10"/>
        <color theme="1"/>
        <rFont val="仿宋_GB2312"/>
        <charset val="134"/>
      </rPr>
      <t>：</t>
    </r>
    <r>
      <rPr>
        <sz val="10"/>
        <color theme="1"/>
        <rFont val="仿宋_GB2312"/>
        <charset val="134"/>
      </rPr>
      <t>Vue3 + Vant</t>
    </r>
    <r>
      <rPr>
        <sz val="10"/>
        <color theme="1"/>
        <rFont val="仿宋_GB2312"/>
        <charset val="134"/>
      </rPr>
      <t>；短信验证码输入、倒计时、</t>
    </r>
    <r>
      <rPr>
        <sz val="10"/>
        <color theme="1"/>
        <rFont val="仿宋_GB2312"/>
        <charset val="134"/>
      </rPr>
      <t xml:space="preserve">Token </t>
    </r>
    <r>
      <rPr>
        <sz val="10"/>
        <color theme="1"/>
        <rFont val="仿宋_GB2312"/>
        <charset val="134"/>
      </rPr>
      <t>存储与路由守卫（登录态）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</si>
</sst>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仿宋_GB2312"/>
      <charset val="134"/>
    </font>
    <font>
      <sz val="10"/>
      <name val="Arial"/>
      <charset val="0"/>
    </font>
    <font>
      <sz val="18"/>
      <name val="微软雅黑"/>
      <charset val="0"/>
    </font>
    <font>
      <sz val="10"/>
      <color rgb="FFFF0000"/>
      <name val="宋体"/>
      <charset val="0"/>
    </font>
    <font>
      <b/>
      <sz val="10"/>
      <color indexed="9"/>
      <name val="黑体"/>
      <charset val="134"/>
    </font>
    <font>
      <sz val="10"/>
      <name val="宋体"/>
      <charset val="0"/>
    </font>
    <font>
      <sz val="10"/>
      <color theme="1"/>
      <name val="黑体"/>
      <charset val="134"/>
    </font>
    <font>
      <sz val="10"/>
      <color theme="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36">
    <xf numFmtId="0" fontId="0" fillId="0" borderId="0" xfId="0">
      <alignment vertical="center"/>
    </xf>
    <xf numFmtId="0" fontId="1" fillId="0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top" wrapText="1"/>
    </xf>
    <xf numFmtId="58" fontId="1" fillId="0" borderId="4" xfId="0" applyNumberFormat="1" applyFont="1" applyFill="1" applyBorder="1" applyAlignment="1">
      <alignment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  <xf numFmtId="58" fontId="1" fillId="0" borderId="2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/>
    <xf numFmtId="58" fontId="2" fillId="0" borderId="0" xfId="0" applyNumberFormat="1" applyFont="1" applyFill="1" applyBorder="1" applyAlignment="1"/>
    <xf numFmtId="0" fontId="3" fillId="0" borderId="0" xfId="0" applyFont="1" applyFill="1" applyAlignment="1">
      <alignment horizontal="center"/>
    </xf>
    <xf numFmtId="58" fontId="3" fillId="0" borderId="0" xfId="0" applyNumberFormat="1" applyFont="1" applyFill="1" applyAlignment="1">
      <alignment horizontal="center"/>
    </xf>
    <xf numFmtId="0" fontId="4" fillId="0" borderId="0" xfId="0" applyFont="1" applyFill="1" applyBorder="1" applyAlignment="1"/>
    <xf numFmtId="0" fontId="5" fillId="2" borderId="7" xfId="49" applyFont="1" applyFill="1" applyBorder="1" applyAlignment="1">
      <alignment horizontal="center" vertical="center"/>
    </xf>
    <xf numFmtId="0" fontId="5" fillId="2" borderId="8" xfId="49" applyFont="1" applyFill="1" applyBorder="1" applyAlignment="1">
      <alignment vertical="center"/>
    </xf>
    <xf numFmtId="0" fontId="5" fillId="2" borderId="8" xfId="49" applyFont="1" applyFill="1" applyBorder="1" applyAlignment="1">
      <alignment horizontal="center" vertical="center"/>
    </xf>
    <xf numFmtId="58" fontId="5" fillId="2" borderId="7" xfId="49" applyNumberFormat="1" applyFont="1" applyFill="1" applyBorder="1" applyAlignment="1">
      <alignment horizontal="center" vertical="center"/>
    </xf>
    <xf numFmtId="58" fontId="5" fillId="2" borderId="8" xfId="49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top" wrapText="1"/>
    </xf>
    <xf numFmtId="0" fontId="8" fillId="3" borderId="4" xfId="0" applyFont="1" applyFill="1" applyBorder="1" applyAlignment="1">
      <alignment vertical="top" wrapText="1"/>
    </xf>
    <xf numFmtId="58" fontId="7" fillId="0" borderId="4" xfId="0" applyNumberFormat="1" applyFont="1" applyFill="1" applyBorder="1" applyAlignment="1">
      <alignment vertical="top" wrapText="1"/>
    </xf>
    <xf numFmtId="0" fontId="7" fillId="0" borderId="4" xfId="0" applyFont="1" applyFill="1" applyBorder="1" applyAlignment="1">
      <alignment vertical="top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top" wrapText="1"/>
    </xf>
    <xf numFmtId="58" fontId="7" fillId="0" borderId="2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甘特图求助" xfId="49"/>
  </cellStyles>
  <tableStyles count="0" defaultTableStyle="TableStyleMedium2" defaultPivotStyle="PivotStyleLight16"/>
  <colors>
    <mruColors>
      <color rgb="00ED7D3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44730331519"/>
          <c:y val="0.066356489651853"/>
          <c:w val="0.813780306778822"/>
          <c:h val="0.92883041873897"/>
        </c:manualLayout>
      </c:layout>
      <c:barChart>
        <c:barDir val="bar"/>
        <c:grouping val="stacked"/>
        <c:varyColors val="0"/>
        <c:ser>
          <c:idx val="1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Sheet1!$C$6:$C$21</c:f>
              <c:strCache>
                <c:ptCount val="16"/>
                <c:pt idx="0">
                  <c:v>一期业务范围确认与需求澄清</c:v>
                </c:pt>
                <c:pt idx="1">
                  <c:v>功能模块划分与页面信息架构设计</c:v>
                </c:pt>
                <c:pt idx="2">
                  <c:v>技术架构与开发规范制定</c:v>
                </c:pt>
                <c:pt idx="3">
                  <c:v>前端工程化环境搭建与校验</c:v>
                </c:pt>
                <c:pt idx="4">
                  <c:v>路由体系设计与基础布局实现</c:v>
                </c:pt>
                <c:pt idx="5">
                  <c:v>全局 UI 主题与基础组件库封装</c:v>
                </c:pt>
                <c:pt idx="6">
                  <c:v>HTTP 客户端封装与错误处理机制</c:v>
                </c:pt>
                <c:pt idx="7">
                  <c:v>服务大厅首页界面与交互实现</c:v>
                </c:pt>
                <c:pt idx="8">
                  <c:v>全部服务列表与搜索能力实现</c:v>
                </c:pt>
                <c:pt idx="9">
                  <c:v>服务详情页模板与 11 项服务配置</c:v>
                </c:pt>
                <c:pt idx="10">
                  <c:v>无人机物流服务申请表单开发与校验</c:v>
                </c:pt>
                <c:pt idx="11">
                  <c:v>政务巡检服务申请表单开发与校验</c:v>
                </c:pt>
                <c:pt idx="12">
                  <c:v>无人机托管服务申请表单开发与校验</c:v>
                </c:pt>
                <c:pt idx="13">
                  <c:v>无人机吊运服务申请表单开发与校验</c:v>
                </c:pt>
                <c:pt idx="14">
                  <c:v>表单提交流程与后端接口对接（一期四项）</c:v>
                </c:pt>
                <c:pt idx="15">
                  <c:v>用户登录注册实现</c:v>
                </c:pt>
              </c:strCache>
            </c:strRef>
          </c:cat>
          <c:val>
            <c:numRef>
              <c:f>Sheet1!$D$6:$D$21</c:f>
              <c:numCache>
                <c:formatCode>m"月"d"日"</c:formatCode>
                <c:ptCount val="16"/>
                <c:pt idx="0">
                  <c:v>45930</c:v>
                </c:pt>
                <c:pt idx="1">
                  <c:v>45939</c:v>
                </c:pt>
                <c:pt idx="2">
                  <c:v>45950</c:v>
                </c:pt>
                <c:pt idx="3">
                  <c:v>45950</c:v>
                </c:pt>
                <c:pt idx="4">
                  <c:v>45953</c:v>
                </c:pt>
                <c:pt idx="5">
                  <c:v>45953</c:v>
                </c:pt>
                <c:pt idx="6">
                  <c:v>45953</c:v>
                </c:pt>
                <c:pt idx="7">
                  <c:v>45956</c:v>
                </c:pt>
                <c:pt idx="8">
                  <c:v>45957</c:v>
                </c:pt>
                <c:pt idx="9">
                  <c:v>45960</c:v>
                </c:pt>
                <c:pt idx="10">
                  <c:v>45960</c:v>
                </c:pt>
                <c:pt idx="11">
                  <c:v>45973</c:v>
                </c:pt>
                <c:pt idx="12">
                  <c:v>45977</c:v>
                </c:pt>
                <c:pt idx="13">
                  <c:v>45981</c:v>
                </c:pt>
                <c:pt idx="14">
                  <c:v>45985</c:v>
                </c:pt>
                <c:pt idx="15">
                  <c:v>45992</c:v>
                </c:pt>
              </c:numCache>
            </c:numRef>
          </c:val>
        </c:ser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Sheet1!$C$6:$C$21</c:f>
              <c:strCache>
                <c:ptCount val="16"/>
                <c:pt idx="0">
                  <c:v>一期业务范围确认与需求澄清</c:v>
                </c:pt>
                <c:pt idx="1">
                  <c:v>功能模块划分与页面信息架构设计</c:v>
                </c:pt>
                <c:pt idx="2">
                  <c:v>技术架构与开发规范制定</c:v>
                </c:pt>
                <c:pt idx="3">
                  <c:v>前端工程化环境搭建与校验</c:v>
                </c:pt>
                <c:pt idx="4">
                  <c:v>路由体系设计与基础布局实现</c:v>
                </c:pt>
                <c:pt idx="5">
                  <c:v>全局 UI 主题与基础组件库封装</c:v>
                </c:pt>
                <c:pt idx="6">
                  <c:v>HTTP 客户端封装与错误处理机制</c:v>
                </c:pt>
                <c:pt idx="7">
                  <c:v>服务大厅首页界面与交互实现</c:v>
                </c:pt>
                <c:pt idx="8">
                  <c:v>全部服务列表与搜索能力实现</c:v>
                </c:pt>
                <c:pt idx="9">
                  <c:v>服务详情页模板与 11 项服务配置</c:v>
                </c:pt>
                <c:pt idx="10">
                  <c:v>无人机物流服务申请表单开发与校验</c:v>
                </c:pt>
                <c:pt idx="11">
                  <c:v>政务巡检服务申请表单开发与校验</c:v>
                </c:pt>
                <c:pt idx="12">
                  <c:v>无人机托管服务申请表单开发与校验</c:v>
                </c:pt>
                <c:pt idx="13">
                  <c:v>无人机吊运服务申请表单开发与校验</c:v>
                </c:pt>
                <c:pt idx="14">
                  <c:v>表单提交流程与后端接口对接（一期四项）</c:v>
                </c:pt>
                <c:pt idx="15">
                  <c:v>用户登录注册实现</c:v>
                </c:pt>
              </c:strCache>
            </c:strRef>
          </c:cat>
          <c:val>
            <c:numRef>
              <c:f>Sheet1!$E$6:$E$21</c:f>
              <c:numCache>
                <c:formatCode>General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38</c:v>
                </c:pt>
                <c:pt idx="5">
                  <c:v>7</c:v>
                </c:pt>
                <c:pt idx="6">
                  <c:v>19</c:v>
                </c:pt>
                <c:pt idx="7">
                  <c:v>10</c:v>
                </c:pt>
                <c:pt idx="8">
                  <c:v>11</c:v>
                </c:pt>
                <c:pt idx="9">
                  <c:v>10</c:v>
                </c:pt>
                <c:pt idx="10">
                  <c:v>7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Sheet1!$C$6:$C$21</c:f>
              <c:strCache>
                <c:ptCount val="16"/>
                <c:pt idx="0">
                  <c:v>一期业务范围确认与需求澄清</c:v>
                </c:pt>
                <c:pt idx="1">
                  <c:v>功能模块划分与页面信息架构设计</c:v>
                </c:pt>
                <c:pt idx="2">
                  <c:v>技术架构与开发规范制定</c:v>
                </c:pt>
                <c:pt idx="3">
                  <c:v>前端工程化环境搭建与校验</c:v>
                </c:pt>
                <c:pt idx="4">
                  <c:v>路由体系设计与基础布局实现</c:v>
                </c:pt>
                <c:pt idx="5">
                  <c:v>全局 UI 主题与基础组件库封装</c:v>
                </c:pt>
                <c:pt idx="6">
                  <c:v>HTTP 客户端封装与错误处理机制</c:v>
                </c:pt>
                <c:pt idx="7">
                  <c:v>服务大厅首页界面与交互实现</c:v>
                </c:pt>
                <c:pt idx="8">
                  <c:v>全部服务列表与搜索能力实现</c:v>
                </c:pt>
                <c:pt idx="9">
                  <c:v>服务详情页模板与 11 项服务配置</c:v>
                </c:pt>
                <c:pt idx="10">
                  <c:v>无人机物流服务申请表单开发与校验</c:v>
                </c:pt>
                <c:pt idx="11">
                  <c:v>政务巡检服务申请表单开发与校验</c:v>
                </c:pt>
                <c:pt idx="12">
                  <c:v>无人机托管服务申请表单开发与校验</c:v>
                </c:pt>
                <c:pt idx="13">
                  <c:v>无人机吊运服务申请表单开发与校验</c:v>
                </c:pt>
                <c:pt idx="14">
                  <c:v>表单提交流程与后端接口对接（一期四项）</c:v>
                </c:pt>
                <c:pt idx="15">
                  <c:v>用户登录注册实现</c:v>
                </c:pt>
              </c:strCache>
            </c:strRef>
          </c:cat>
          <c:val>
            <c:numRef>
              <c:f>Sheet1!$F$6:$F$21</c:f>
              <c:numCache>
                <c:formatCode>m"月"d"日"</c:formatCode>
                <c:ptCount val="16"/>
                <c:pt idx="0">
                  <c:v>45935</c:v>
                </c:pt>
                <c:pt idx="1">
                  <c:v>45945</c:v>
                </c:pt>
                <c:pt idx="2">
                  <c:v>45955</c:v>
                </c:pt>
                <c:pt idx="3">
                  <c:v>45960</c:v>
                </c:pt>
                <c:pt idx="4">
                  <c:v>45991</c:v>
                </c:pt>
                <c:pt idx="5">
                  <c:v>45960</c:v>
                </c:pt>
                <c:pt idx="6">
                  <c:v>45972</c:v>
                </c:pt>
                <c:pt idx="7">
                  <c:v>45966</c:v>
                </c:pt>
                <c:pt idx="8">
                  <c:v>45968</c:v>
                </c:pt>
                <c:pt idx="9">
                  <c:v>45970</c:v>
                </c:pt>
                <c:pt idx="10">
                  <c:v>45967</c:v>
                </c:pt>
                <c:pt idx="11">
                  <c:v>45976</c:v>
                </c:pt>
                <c:pt idx="12">
                  <c:v>45981</c:v>
                </c:pt>
                <c:pt idx="13">
                  <c:v>45985</c:v>
                </c:pt>
                <c:pt idx="14">
                  <c:v>45989</c:v>
                </c:pt>
                <c:pt idx="15">
                  <c:v>45996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992158"/>
        <c:axId val="124831690"/>
      </c:barChart>
      <c:dateAx>
        <c:axId val="5199215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 w="28575" cmpd="dbl">
                  <a:noFill/>
                  <a:prstDash val="solid"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24831690"/>
        <c:crosses val="autoZero"/>
        <c:auto val="0"/>
        <c:lblAlgn val="ctr"/>
        <c:lblOffset val="100"/>
        <c:baseTimeUnit val="days"/>
      </c:dateAx>
      <c:valAx>
        <c:axId val="124831690"/>
        <c:scaling>
          <c:orientation val="minMax"/>
          <c:max val="45990"/>
          <c:min val="4593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&quot;月&quot;d&quot;日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ln w="28575" cmpd="dbl">
                  <a:noFill/>
                  <a:prstDash val="solid"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5199215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2e7411d-0048-4ba3-ab8d-c905b605b6ec}"/>
      </c:ext>
    </c:extLst>
  </c:chart>
  <c:spPr>
    <a:solidFill>
      <a:schemeClr val="lt1"/>
    </a:solidFill>
    <a:ln w="22225" cap="flat" cmpd="dbl" algn="ctr">
      <a:solidFill>
        <a:schemeClr val="tx1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zh-CN">
          <a:ln w="28575" cmpd="dbl">
            <a:noFill/>
            <a:prstDash val="solid"/>
          </a:ln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19050</xdr:colOff>
      <xdr:row>3</xdr:row>
      <xdr:rowOff>147955</xdr:rowOff>
    </xdr:from>
    <xdr:to>
      <xdr:col>18</xdr:col>
      <xdr:colOff>432435</xdr:colOff>
      <xdr:row>21</xdr:row>
      <xdr:rowOff>177800</xdr:rowOff>
    </xdr:to>
    <xdr:graphicFrame>
      <xdr:nvGraphicFramePr>
        <xdr:cNvPr id="6" name="图表 5"/>
        <xdr:cNvGraphicFramePr/>
      </xdr:nvGraphicFramePr>
      <xdr:xfrm>
        <a:off x="8229600" y="786130"/>
        <a:ext cx="7118985" cy="4468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zoomScale="115" zoomScaleNormal="115" topLeftCell="A2" workbookViewId="0">
      <selection activeCell="F21" sqref="F21"/>
    </sheetView>
  </sheetViews>
  <sheetFormatPr defaultColWidth="9" defaultRowHeight="13.5"/>
  <cols>
    <col min="1" max="1" width="13.125" style="11" customWidth="1"/>
    <col min="2" max="2" width="19.25" style="11" customWidth="1"/>
    <col min="3" max="3" width="33.5" style="11" customWidth="1"/>
    <col min="4" max="4" width="13.5" style="12" customWidth="1"/>
    <col min="5" max="5" width="9.625" style="11" customWidth="1"/>
    <col min="6" max="6" width="10.75" style="12" customWidth="1"/>
    <col min="7" max="32" width="8" style="11"/>
    <col min="33" max="16352" width="9" style="11"/>
    <col min="16353" max="16376" width="8" style="11"/>
  </cols>
  <sheetData>
    <row r="1" s="11" customFormat="1" ht="12.75" spans="1:10">
      <c r="D1" s="12"/>
      <c r="F1" s="12"/>
    </row>
    <row r="2" s="11" customFormat="1" ht="24.75" spans="1:10">
      <c r="A2" s="13" t="s">
        <v>0</v>
      </c>
      <c r="B2" s="13"/>
      <c r="C2" s="13"/>
      <c r="D2" s="14"/>
      <c r="E2" s="13"/>
      <c r="F2" s="14"/>
      <c r="I2" s="15"/>
    </row>
    <row r="3" s="11" customFormat="1" ht="12.75" spans="1:10">
      <c r="D3" s="12"/>
      <c r="F3" s="12"/>
      <c r="I3" s="15"/>
    </row>
    <row r="4" s="11" customFormat="1" spans="1:10">
      <c r="D4" s="12"/>
      <c r="F4" s="12"/>
    </row>
    <row r="5" s="11" customFormat="1" ht="23" customHeight="1" spans="1:10">
      <c r="A5" s="16" t="s">
        <v>1</v>
      </c>
      <c r="B5" s="17" t="s">
        <v>2</v>
      </c>
      <c r="C5" s="18" t="s">
        <v>3</v>
      </c>
      <c r="D5" s="19" t="s">
        <v>4</v>
      </c>
      <c r="E5" s="18" t="s">
        <v>5</v>
      </c>
      <c r="F5" s="20" t="s">
        <v>6</v>
      </c>
      <c r="J5" s="21"/>
    </row>
    <row r="6" s="11" customFormat="1" ht="18" customHeight="1" spans="1:10">
      <c r="A6" s="22" t="s">
        <v>7</v>
      </c>
      <c r="B6" s="23" t="s">
        <v>8</v>
      </c>
      <c r="C6" s="24" t="s">
        <v>9</v>
      </c>
      <c r="D6" s="25">
        <v>45930</v>
      </c>
      <c r="E6" s="26">
        <f t="shared" ref="E6:E21" si="0">F6-D6</f>
        <v>5</v>
      </c>
      <c r="F6" s="25">
        <v>45935</v>
      </c>
    </row>
    <row r="7" s="11" customFormat="1" ht="18" customHeight="1" spans="1:10">
      <c r="A7" s="27"/>
      <c r="B7" s="23" t="s">
        <v>10</v>
      </c>
      <c r="C7" s="24" t="s">
        <v>11</v>
      </c>
      <c r="D7" s="25">
        <v>45939</v>
      </c>
      <c r="E7" s="26">
        <f t="shared" si="0"/>
        <v>6</v>
      </c>
      <c r="F7" s="25">
        <v>45945</v>
      </c>
    </row>
    <row r="8" s="11" customFormat="1" ht="18" customHeight="1" spans="1:10">
      <c r="A8" s="28"/>
      <c r="B8" s="23" t="s">
        <v>12</v>
      </c>
      <c r="C8" s="24" t="s">
        <v>13</v>
      </c>
      <c r="D8" s="25">
        <v>45950</v>
      </c>
      <c r="E8" s="26">
        <f t="shared" si="0"/>
        <v>5</v>
      </c>
      <c r="F8" s="25">
        <v>45955</v>
      </c>
    </row>
    <row r="9" s="11" customFormat="1" ht="18" customHeight="1" spans="1:10">
      <c r="A9" s="29" t="s">
        <v>14</v>
      </c>
      <c r="B9" s="23" t="s">
        <v>15</v>
      </c>
      <c r="C9" s="24" t="s">
        <v>16</v>
      </c>
      <c r="D9" s="25">
        <v>45950</v>
      </c>
      <c r="E9" s="26">
        <f t="shared" si="0"/>
        <v>10</v>
      </c>
      <c r="F9" s="25">
        <v>45960</v>
      </c>
    </row>
    <row r="10" s="11" customFormat="1" ht="18" customHeight="1" spans="1:10">
      <c r="A10" s="30"/>
      <c r="B10" s="23" t="s">
        <v>17</v>
      </c>
      <c r="C10" s="24" t="s">
        <v>18</v>
      </c>
      <c r="D10" s="25">
        <v>45953</v>
      </c>
      <c r="E10" s="26">
        <f t="shared" si="0"/>
        <v>38</v>
      </c>
      <c r="F10" s="25">
        <v>45991</v>
      </c>
    </row>
    <row r="11" s="11" customFormat="1" ht="18" customHeight="1" spans="1:10">
      <c r="A11" s="30"/>
      <c r="B11" s="23" t="s">
        <v>19</v>
      </c>
      <c r="C11" s="24" t="s">
        <v>20</v>
      </c>
      <c r="D11" s="25">
        <v>45953</v>
      </c>
      <c r="E11" s="26">
        <f t="shared" si="0"/>
        <v>7</v>
      </c>
      <c r="F11" s="25">
        <v>45960</v>
      </c>
    </row>
    <row r="12" s="11" customFormat="1" ht="18" customHeight="1" spans="1:10">
      <c r="A12" s="31"/>
      <c r="B12" s="23" t="s">
        <v>21</v>
      </c>
      <c r="C12" s="24" t="s">
        <v>22</v>
      </c>
      <c r="D12" s="25">
        <v>45953</v>
      </c>
      <c r="E12" s="26">
        <f t="shared" si="0"/>
        <v>19</v>
      </c>
      <c r="F12" s="25">
        <v>45972</v>
      </c>
    </row>
    <row r="13" s="11" customFormat="1" ht="18" customHeight="1" spans="1:10">
      <c r="A13" s="32" t="s">
        <v>23</v>
      </c>
      <c r="B13" s="33" t="s">
        <v>24</v>
      </c>
      <c r="C13" s="34" t="s">
        <v>25</v>
      </c>
      <c r="D13" s="35">
        <v>45956</v>
      </c>
      <c r="E13" s="26">
        <f t="shared" si="0"/>
        <v>10</v>
      </c>
      <c r="F13" s="25">
        <v>45966</v>
      </c>
    </row>
    <row r="14" s="11" customFormat="1" ht="18" customHeight="1" spans="1:10">
      <c r="A14" s="27"/>
      <c r="B14" s="23" t="s">
        <v>26</v>
      </c>
      <c r="C14" s="24" t="s">
        <v>27</v>
      </c>
      <c r="D14" s="35">
        <v>45957</v>
      </c>
      <c r="E14" s="26">
        <f t="shared" si="0"/>
        <v>11</v>
      </c>
      <c r="F14" s="25">
        <v>45968</v>
      </c>
    </row>
    <row r="15" s="11" customFormat="1" ht="18" customHeight="1" spans="1:10">
      <c r="A15" s="27"/>
      <c r="B15" s="23" t="s">
        <v>28</v>
      </c>
      <c r="C15" s="24" t="s">
        <v>29</v>
      </c>
      <c r="D15" s="35">
        <v>45960</v>
      </c>
      <c r="E15" s="26">
        <f t="shared" si="0"/>
        <v>10</v>
      </c>
      <c r="F15" s="25">
        <v>45970</v>
      </c>
    </row>
    <row r="16" s="11" customFormat="1" ht="18" customHeight="1" spans="1:10">
      <c r="A16" s="27"/>
      <c r="B16" s="23" t="s">
        <v>30</v>
      </c>
      <c r="C16" s="24" t="s">
        <v>31</v>
      </c>
      <c r="D16" s="35">
        <v>45960</v>
      </c>
      <c r="E16" s="26">
        <f t="shared" si="0"/>
        <v>7</v>
      </c>
      <c r="F16" s="25">
        <v>45967</v>
      </c>
    </row>
    <row r="17" s="11" customFormat="1" ht="25" customHeight="1" spans="1:6">
      <c r="A17" s="27"/>
      <c r="B17" s="23" t="s">
        <v>32</v>
      </c>
      <c r="C17" s="24" t="s">
        <v>33</v>
      </c>
      <c r="D17" s="25">
        <v>45973</v>
      </c>
      <c r="E17" s="26">
        <f t="shared" si="0"/>
        <v>3</v>
      </c>
      <c r="F17" s="25">
        <v>45976</v>
      </c>
    </row>
    <row r="18" s="11" customFormat="1" ht="25" customHeight="1" spans="1:6">
      <c r="A18" s="27"/>
      <c r="B18" s="23" t="s">
        <v>34</v>
      </c>
      <c r="C18" s="24" t="s">
        <v>35</v>
      </c>
      <c r="D18" s="25">
        <v>45977</v>
      </c>
      <c r="E18" s="26">
        <f t="shared" si="0"/>
        <v>4</v>
      </c>
      <c r="F18" s="25">
        <v>45981</v>
      </c>
    </row>
    <row r="19" s="11" customFormat="1" ht="25" customHeight="1" spans="1:6">
      <c r="A19" s="27"/>
      <c r="B19" s="23" t="s">
        <v>36</v>
      </c>
      <c r="C19" s="24" t="s">
        <v>37</v>
      </c>
      <c r="D19" s="25">
        <v>45981</v>
      </c>
      <c r="E19" s="26">
        <f t="shared" si="0"/>
        <v>4</v>
      </c>
      <c r="F19" s="25">
        <v>45985</v>
      </c>
    </row>
    <row r="20" s="11" customFormat="1" ht="20" customHeight="1" spans="1:6">
      <c r="A20" s="27"/>
      <c r="B20" s="23" t="s">
        <v>38</v>
      </c>
      <c r="C20" s="24" t="s">
        <v>39</v>
      </c>
      <c r="D20" s="25">
        <v>45985</v>
      </c>
      <c r="E20" s="26">
        <f t="shared" si="0"/>
        <v>4</v>
      </c>
      <c r="F20" s="25">
        <v>45989</v>
      </c>
    </row>
    <row r="21" s="11" customFormat="1" ht="20" customHeight="1" spans="1:6">
      <c r="A21" s="28"/>
      <c r="B21" s="23" t="s">
        <v>40</v>
      </c>
      <c r="C21" s="24" t="s">
        <v>41</v>
      </c>
      <c r="D21" s="25">
        <v>45992</v>
      </c>
      <c r="E21" s="26">
        <f t="shared" si="0"/>
        <v>4</v>
      </c>
      <c r="F21" s="25">
        <v>45996</v>
      </c>
    </row>
    <row r="22" ht="20" customHeight="1"/>
  </sheetData>
  <mergeCells count="4">
    <mergeCell ref="A2:F2"/>
    <mergeCell ref="A6:A8"/>
    <mergeCell ref="A9:A12"/>
    <mergeCell ref="A13:A21"/>
  </mergeCells>
  <printOptions horizontalCentered="1"/>
  <pageMargins left="0.357638888888889" right="0.357638888888889" top="1" bottom="1" header="0.5" footer="0.5"/>
  <pageSetup paperSize="9" scale="8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zoomScale="175" zoomScaleNormal="175" topLeftCell="A5" workbookViewId="0">
      <selection activeCell="E5" sqref="E5"/>
    </sheetView>
  </sheetViews>
  <sheetFormatPr defaultColWidth="9" defaultRowHeight="13.5" outlineLevelCol="6"/>
  <sheetData>
    <row r="1" ht="36.75" spans="1:7">
      <c r="A1" s="1" t="s">
        <v>1</v>
      </c>
      <c r="B1" s="2" t="s">
        <v>42</v>
      </c>
      <c r="C1" s="2" t="s">
        <v>4</v>
      </c>
      <c r="D1" s="2" t="s">
        <v>5</v>
      </c>
      <c r="E1" s="2" t="s">
        <v>6</v>
      </c>
      <c r="F1" s="2" t="s">
        <v>43</v>
      </c>
      <c r="G1" s="2" t="s">
        <v>2</v>
      </c>
    </row>
    <row r="2" ht="96.75" spans="1:7">
      <c r="A2" s="3" t="s">
        <v>7</v>
      </c>
      <c r="B2" s="4" t="s">
        <v>9</v>
      </c>
      <c r="C2" s="5">
        <v>45930</v>
      </c>
      <c r="D2" s="4">
        <f t="shared" ref="D2:D17" si="0">E2-C2</f>
        <v>5</v>
      </c>
      <c r="E2" s="5">
        <v>45935</v>
      </c>
      <c r="F2" s="4"/>
      <c r="G2" s="4" t="s">
        <v>44</v>
      </c>
    </row>
    <row r="3" ht="84.75" spans="1:7">
      <c r="A3" s="3"/>
      <c r="B3" s="4" t="s">
        <v>11</v>
      </c>
      <c r="C3" s="5">
        <v>45939</v>
      </c>
      <c r="D3" s="4">
        <f t="shared" si="0"/>
        <v>6</v>
      </c>
      <c r="E3" s="5">
        <v>45945</v>
      </c>
      <c r="F3" s="4"/>
      <c r="G3" s="4" t="s">
        <v>45</v>
      </c>
    </row>
    <row r="4" ht="144.75" spans="1:7">
      <c r="A4" s="6"/>
      <c r="B4" s="4" t="s">
        <v>13</v>
      </c>
      <c r="C4" s="5">
        <v>45950</v>
      </c>
      <c r="D4" s="4">
        <f t="shared" si="0"/>
        <v>5</v>
      </c>
      <c r="E4" s="5">
        <v>45955</v>
      </c>
      <c r="F4" s="4"/>
      <c r="G4" s="4" t="s">
        <v>46</v>
      </c>
    </row>
    <row r="5" ht="132.75" spans="1:7">
      <c r="A5" s="7" t="s">
        <v>14</v>
      </c>
      <c r="B5" s="4" t="s">
        <v>16</v>
      </c>
      <c r="C5" s="5">
        <v>45955</v>
      </c>
      <c r="D5" s="4">
        <f t="shared" si="0"/>
        <v>5</v>
      </c>
      <c r="E5" s="5">
        <v>45960</v>
      </c>
      <c r="F5" s="4"/>
      <c r="G5" s="4" t="s">
        <v>47</v>
      </c>
    </row>
    <row r="6" ht="108.75" spans="1:7">
      <c r="A6" s="7"/>
      <c r="B6" s="4" t="s">
        <v>18</v>
      </c>
      <c r="C6" s="5">
        <v>45955</v>
      </c>
      <c r="D6" s="4">
        <f t="shared" si="0"/>
        <v>5</v>
      </c>
      <c r="E6" s="5">
        <v>45960</v>
      </c>
      <c r="F6" s="4"/>
      <c r="G6" s="4" t="s">
        <v>48</v>
      </c>
    </row>
    <row r="7" ht="96.75" spans="1:7">
      <c r="A7" s="7"/>
      <c r="B7" s="4" t="s">
        <v>49</v>
      </c>
      <c r="C7" s="5">
        <v>45955</v>
      </c>
      <c r="D7" s="4">
        <f t="shared" si="0"/>
        <v>5</v>
      </c>
      <c r="E7" s="5">
        <v>45960</v>
      </c>
      <c r="F7" s="4"/>
      <c r="G7" s="4" t="s">
        <v>50</v>
      </c>
    </row>
    <row r="8" ht="108.75" spans="1:7">
      <c r="A8" s="8"/>
      <c r="B8" s="4" t="s">
        <v>51</v>
      </c>
      <c r="C8" s="5">
        <v>45955</v>
      </c>
      <c r="D8" s="4">
        <f t="shared" si="0"/>
        <v>5</v>
      </c>
      <c r="E8" s="5">
        <v>45960</v>
      </c>
      <c r="F8" s="4"/>
      <c r="G8" s="4" t="s">
        <v>52</v>
      </c>
    </row>
    <row r="9" ht="132.75" spans="1:7">
      <c r="A9" s="9" t="s">
        <v>23</v>
      </c>
      <c r="B9" s="2" t="s">
        <v>25</v>
      </c>
      <c r="C9" s="10">
        <v>45960</v>
      </c>
      <c r="D9" s="4">
        <f t="shared" si="0"/>
        <v>6</v>
      </c>
      <c r="E9" s="5">
        <v>45966</v>
      </c>
      <c r="F9" s="2"/>
      <c r="G9" s="2" t="s">
        <v>53</v>
      </c>
    </row>
    <row r="10" ht="96.75" spans="1:7">
      <c r="A10" s="3"/>
      <c r="B10" s="4" t="s">
        <v>27</v>
      </c>
      <c r="C10" s="10">
        <v>45960</v>
      </c>
      <c r="D10" s="4">
        <f t="shared" si="0"/>
        <v>6</v>
      </c>
      <c r="E10" s="5">
        <v>45966</v>
      </c>
      <c r="F10" s="4"/>
      <c r="G10" s="4" t="s">
        <v>54</v>
      </c>
    </row>
    <row r="11" ht="108.75" spans="1:7">
      <c r="A11" s="3"/>
      <c r="B11" s="4" t="s">
        <v>55</v>
      </c>
      <c r="C11" s="10">
        <v>45960</v>
      </c>
      <c r="D11" s="4">
        <f t="shared" si="0"/>
        <v>6</v>
      </c>
      <c r="E11" s="5">
        <v>45966</v>
      </c>
      <c r="F11" s="4"/>
      <c r="G11" s="4" t="s">
        <v>56</v>
      </c>
    </row>
    <row r="12" ht="144.75" spans="1:7">
      <c r="A12" s="3"/>
      <c r="B12" s="4" t="s">
        <v>31</v>
      </c>
      <c r="C12" s="10">
        <v>45960</v>
      </c>
      <c r="D12" s="4">
        <f t="shared" si="0"/>
        <v>7</v>
      </c>
      <c r="E12" s="5">
        <v>45967</v>
      </c>
      <c r="F12" s="4"/>
      <c r="G12" s="4" t="s">
        <v>57</v>
      </c>
    </row>
    <row r="13" ht="108.75" spans="1:7">
      <c r="A13" s="3"/>
      <c r="B13" s="4" t="s">
        <v>33</v>
      </c>
      <c r="C13" s="5">
        <v>45973</v>
      </c>
      <c r="D13" s="4">
        <f t="shared" si="0"/>
        <v>3</v>
      </c>
      <c r="E13" s="5">
        <v>45976</v>
      </c>
      <c r="F13" s="4"/>
      <c r="G13" s="4" t="s">
        <v>58</v>
      </c>
    </row>
    <row r="14" ht="72.75" spans="1:7">
      <c r="A14" s="3"/>
      <c r="B14" s="4" t="s">
        <v>35</v>
      </c>
      <c r="C14" s="5">
        <v>45977</v>
      </c>
      <c r="D14" s="4">
        <f t="shared" si="0"/>
        <v>3</v>
      </c>
      <c r="E14" s="5">
        <v>45980</v>
      </c>
      <c r="F14" s="4"/>
      <c r="G14" s="4" t="s">
        <v>59</v>
      </c>
    </row>
    <row r="15" ht="84.75" spans="1:7">
      <c r="A15" s="3"/>
      <c r="B15" s="4" t="s">
        <v>37</v>
      </c>
      <c r="C15" s="5">
        <v>45981</v>
      </c>
      <c r="D15" s="4">
        <f t="shared" si="0"/>
        <v>3</v>
      </c>
      <c r="E15" s="5">
        <v>45984</v>
      </c>
      <c r="F15" s="4"/>
      <c r="G15" s="4" t="s">
        <v>60</v>
      </c>
    </row>
    <row r="16" ht="108.75" spans="1:7">
      <c r="A16" s="3"/>
      <c r="B16" s="4" t="s">
        <v>39</v>
      </c>
      <c r="C16" s="5">
        <v>45985</v>
      </c>
      <c r="D16" s="4">
        <f t="shared" si="0"/>
        <v>4</v>
      </c>
      <c r="E16" s="5">
        <v>45989</v>
      </c>
      <c r="F16" s="4"/>
      <c r="G16" s="4" t="s">
        <v>61</v>
      </c>
    </row>
    <row r="17" ht="108.75" spans="1:7">
      <c r="A17" s="6"/>
      <c r="B17" s="4" t="s">
        <v>62</v>
      </c>
      <c r="C17" s="5">
        <v>45992</v>
      </c>
      <c r="D17" s="4">
        <f t="shared" si="0"/>
        <v>4</v>
      </c>
      <c r="E17" s="5">
        <v>45996</v>
      </c>
      <c r="F17" s="4"/>
      <c r="G17" s="4" t="s">
        <v>63</v>
      </c>
    </row>
  </sheetData>
  <mergeCells count="3">
    <mergeCell ref="A2:A4"/>
    <mergeCell ref="A5:A8"/>
    <mergeCell ref="A9:A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giraffe</cp:lastModifiedBy>
  <dcterms:created xsi:type="dcterms:W3CDTF">2019-05-22T04:07:00Z</dcterms:created>
  <dcterms:modified xsi:type="dcterms:W3CDTF">2025-11-27T07:29:17Z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6700372E488D4F6B936EA512E4959AC0_11</vt:lpwstr>
  </property>
  <property fmtid="{D5CDD505-2E9C-101B-9397-08002B2CF9AE}" pid="3" name="KSOProductBuildVer">
    <vt:lpwstr>2052-12.1.0.23542</vt:lpwstr>
  </property>
  <property fmtid="{D5CDD505-2E9C-101B-9397-08002B2CF9AE}" pid="4" name="KSOTemplateUUID">
    <vt:lpwstr>v1.0_mb_9RWsAulDstrwLs67sslOlg==</vt:lpwstr>
  </property>
</Properties>
</file>